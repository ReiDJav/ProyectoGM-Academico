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_\Downloads\"/>
    </mc:Choice>
  </mc:AlternateContent>
  <xr:revisionPtr revIDLastSave="0" documentId="13_ncr:1_{4F3629EF-1A19-491A-85E1-038F132AB433}" xr6:coauthVersionLast="47" xr6:coauthVersionMax="47" xr10:uidLastSave="{00000000-0000-0000-0000-000000000000}"/>
  <bookViews>
    <workbookView xWindow="-120" yWindow="-120" windowWidth="29040" windowHeight="15720" activeTab="3" xr2:uid="{D52BCA1F-85FB-411A-AB1B-50820FE52F67}"/>
  </bookViews>
  <sheets>
    <sheet name="Dosimetro" sheetId="3" r:id="rId1"/>
    <sheet name="Registro" sheetId="2" r:id="rId2"/>
    <sheet name="Listas" sheetId="6" r:id="rId3"/>
    <sheet name="Menu" sheetId="7" r:id="rId4"/>
  </sheets>
  <definedNames>
    <definedName name="dosimetros">Listas!$D$1:$D$6</definedName>
    <definedName name="idDosimetro">Listas!$B$1</definedName>
    <definedName name="Mes">Listas!$F$1:$F$12</definedName>
    <definedName name="ubicacion">Listas!$E$1:$E$6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2" l="1"/>
  <c r="A8" i="2"/>
  <c r="A7" i="2"/>
  <c r="A6" i="2"/>
  <c r="A3" i="2"/>
  <c r="A4" i="2"/>
  <c r="A5" i="2"/>
  <c r="A2" i="2"/>
  <c r="A1" i="6" l="1" a="1"/>
  <c r="A1" i="6" s="1"/>
  <c r="B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<sst xmlns="http://schemas.openxmlformats.org/spreadsheetml/2006/main" count="51" uniqueCount="35">
  <si>
    <t>Dosis</t>
  </si>
  <si>
    <t>Mes</t>
  </si>
  <si>
    <t>Ubicación</t>
  </si>
  <si>
    <t>Tipo de Dosimetro</t>
  </si>
  <si>
    <t>TLD</t>
  </si>
  <si>
    <t>Electronico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</si>
  <si>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</si>
  <si>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</si>
  <si>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</si>
  <si>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</si>
  <si>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</si>
  <si>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</si>
  <si>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</si>
  <si>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</si>
  <si>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</si>
  <si>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</si>
  <si>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</si>
  <si>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</si>
  <si>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Nombre</t>
  </si>
  <si>
    <t>Banda</t>
  </si>
  <si>
    <t>Pasillo</t>
  </si>
  <si>
    <t>Gamma camara</t>
  </si>
  <si>
    <t>IDRegistro</t>
  </si>
  <si>
    <t>IDDosimetro</t>
  </si>
  <si>
    <t>Cuenta el total de IDdosimetro para otorgar el siguiente no. Libre</t>
  </si>
  <si>
    <t>No Serie</t>
  </si>
  <si>
    <t>a</t>
  </si>
  <si>
    <t>TLDI</t>
  </si>
  <si>
    <t>UD-802AT</t>
  </si>
  <si>
    <t>ELECI</t>
  </si>
  <si>
    <t>802-AB</t>
  </si>
  <si>
    <t>Sala de espera de pacientes</t>
  </si>
  <si>
    <t>Área de investigación</t>
  </si>
  <si>
    <t>Almacen</t>
  </si>
  <si>
    <t>FILA() - FILA(registro[[#Encabezados],[IDDosimetro]]): Esta expresión calcula la diferencia entre el número de la fila en la que estás escribiendo la fórmula y el número de la fila del encabezado de la columna IDDosimetro. El resultado será el número de filas entre la celda actual y el encabezado de la columna IDDosimetro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</si>
</sst>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5F81258-7592-45BB-AE6B-E045021E43E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161925</xdr:rowOff>
        </xdr:from>
        <xdr:to>
          <xdr:col>2</xdr:col>
          <xdr:colOff>323850</xdr:colOff>
          <xdr:row>3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171450</xdr:rowOff>
        </xdr:from>
        <xdr:to>
          <xdr:col>4</xdr:col>
          <xdr:colOff>333375</xdr:colOff>
          <xdr:row>3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5A739E-DE32-4614-A199-86EDED188D9C}" name="dosimetro" displayName="dosimetro" ref="A1:E4" totalsRowShown="0">
  <autoFilter ref="A1:E4" xr:uid="{3F5A739E-DE32-4614-A199-86EDED188D9C}"/>
  <tableColumns count="5">
    <tableColumn id="1" xr3:uid="{E610EB4E-3456-4947-8CF9-C64B3EF7183B}" name="IDDosimetro"/>
    <tableColumn id="2" xr3:uid="{AAE2C289-59CF-47C0-B52C-7C0E9936E6B8}" name="Nombre"/>
    <tableColumn id="6" xr3:uid="{ADD17B63-A996-40E5-9114-AD76BD002B48}" name="No Serie"/>
    <tableColumn id="3" xr3:uid="{27E4FA07-A59C-4F56-B606-77ACDDFC8977}" name="Ubicación"/>
    <tableColumn id="4" xr3:uid="{038D29CD-62D4-4147-923C-94405B160609}" name="Tipo de Dosimetr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16A284-B4EB-4C8B-B0FF-37F8CA8C6BBC}" name="registro" displayName="registro" ref="A1:D9" totalsRowShown="0">
  <autoFilter ref="A1:D9" xr:uid="{B516A284-B4EB-4C8B-B0FF-37F8CA8C6BBC}"/>
  <tableColumns count="4">
    <tableColumn id="1" xr3:uid="{0B14D543-1C46-48B8-94B7-55E3749CFA66}" name="IDRegistro">
      <calculatedColumnFormula>ROW()-ROW(registro[[#Headers],[IDDosimetro]])</calculatedColumnFormula>
    </tableColumn>
    <tableColumn id="2" xr3:uid="{253E9AC6-36D9-4463-BE9A-BCF2EB4E77CE}" name="IDDosimetro">
      <calculatedColumnFormula>ROW()-ROW(registro[[#Headers],[IDDosimetro]])</calculatedColumnFormula>
    </tableColumn>
    <tableColumn id="3" xr3:uid="{EE6EDB55-92CE-4FDF-9413-0E31E187B798}" name="Mes"/>
    <tableColumn id="4" xr3:uid="{404DB62F-AE03-4EF5-AB18-33E826E4E2D3}" name="Dosi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2350B-251C-4974-9EF9-7A0320E4B78B}">
  <sheetPr codeName="Hoja1"/>
  <dimension ref="A1:E4"/>
  <sheetViews>
    <sheetView workbookViewId="0">
      <selection activeCell="C3" sqref="C3"/>
    </sheetView>
  </sheetViews>
  <sheetFormatPr baseColWidth="10" defaultRowHeight="15" x14ac:dyDescent="0.25"/>
  <cols>
    <col min="1" max="1" width="14.42578125" bestFit="1" customWidth="1"/>
    <col min="2" max="2" width="10.5703125" bestFit="1" customWidth="1"/>
    <col min="3" max="3" width="18.7109375" customWidth="1"/>
    <col min="4" max="4" width="20.140625" bestFit="1" customWidth="1"/>
    <col min="5" max="5" width="19.7109375" bestFit="1" customWidth="1"/>
  </cols>
  <sheetData>
    <row r="1" spans="1:5" x14ac:dyDescent="0.25">
      <c r="A1" t="s">
        <v>23</v>
      </c>
      <c r="B1" t="s">
        <v>18</v>
      </c>
      <c r="C1" t="s">
        <v>25</v>
      </c>
      <c r="D1" t="s">
        <v>2</v>
      </c>
      <c r="E1" t="s">
        <v>3</v>
      </c>
    </row>
    <row r="2" spans="1:5" x14ac:dyDescent="0.25">
      <c r="A2">
        <v>1</v>
      </c>
      <c r="B2" t="s">
        <v>26</v>
      </c>
      <c r="C2" t="s">
        <v>26</v>
      </c>
      <c r="D2" t="s">
        <v>26</v>
      </c>
      <c r="E2" t="s">
        <v>26</v>
      </c>
    </row>
    <row r="3" spans="1:5" x14ac:dyDescent="0.25">
      <c r="A3">
        <v>2</v>
      </c>
      <c r="B3" t="s">
        <v>27</v>
      </c>
      <c r="C3" t="s">
        <v>28</v>
      </c>
      <c r="D3" t="s">
        <v>32</v>
      </c>
      <c r="E3" t="s">
        <v>4</v>
      </c>
    </row>
    <row r="4" spans="1:5" x14ac:dyDescent="0.25">
      <c r="A4">
        <v>3</v>
      </c>
      <c r="B4" t="s">
        <v>29</v>
      </c>
      <c r="C4" t="s">
        <v>30</v>
      </c>
      <c r="D4" t="s">
        <v>32</v>
      </c>
      <c r="E4" t="s">
        <v>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ABB86-E2EE-4025-ACF1-ED522AE403E5}">
  <sheetPr codeName="Hoja2"/>
  <dimension ref="A1:F9"/>
  <sheetViews>
    <sheetView workbookViewId="0">
      <selection activeCell="B7" sqref="B7"/>
    </sheetView>
  </sheetViews>
  <sheetFormatPr baseColWidth="10" defaultRowHeight="15" x14ac:dyDescent="0.25"/>
  <cols>
    <col min="1" max="1" width="12.42578125" bestFit="1" customWidth="1"/>
    <col min="2" max="2" width="14.42578125" bestFit="1" customWidth="1"/>
    <col min="3" max="3" width="11.28515625" customWidth="1"/>
    <col min="4" max="4" width="8.5703125" customWidth="1"/>
  </cols>
  <sheetData>
    <row r="1" spans="1:6" x14ac:dyDescent="0.25">
      <c r="A1" t="s">
        <v>22</v>
      </c>
      <c r="B1" t="s">
        <v>23</v>
      </c>
      <c r="C1" t="s">
        <v>1</v>
      </c>
      <c r="D1" t="s">
        <v>0</v>
      </c>
    </row>
    <row r="2" spans="1:6" x14ac:dyDescent="0.25">
      <c r="A2">
        <f>ROW()-ROW(registro[[#Headers],[IDDosimetro]])</f>
        <v>1</v>
      </c>
      <c r="B2">
        <v>1</v>
      </c>
      <c r="C2" t="s">
        <v>6</v>
      </c>
      <c r="D2">
        <v>1</v>
      </c>
      <c r="F2" t="s">
        <v>34</v>
      </c>
    </row>
    <row r="3" spans="1:6" x14ac:dyDescent="0.25">
      <c r="A3">
        <f>ROW()-ROW(registro[[#Headers],[IDDosimetro]])</f>
        <v>2</v>
      </c>
      <c r="B3">
        <v>1</v>
      </c>
      <c r="C3" t="s">
        <v>8</v>
      </c>
      <c r="D3">
        <v>2</v>
      </c>
    </row>
    <row r="4" spans="1:6" x14ac:dyDescent="0.25">
      <c r="A4">
        <f>ROW()-ROW(registro[[#Headers],[IDDosimetro]])</f>
        <v>3</v>
      </c>
      <c r="B4">
        <v>2</v>
      </c>
      <c r="C4" t="s">
        <v>10</v>
      </c>
      <c r="D4">
        <v>4</v>
      </c>
    </row>
    <row r="5" spans="1:6" x14ac:dyDescent="0.25">
      <c r="A5">
        <f>ROW()-ROW(registro[[#Headers],[IDDosimetro]])</f>
        <v>4</v>
      </c>
      <c r="B5">
        <v>2</v>
      </c>
      <c r="C5" t="s">
        <v>11</v>
      </c>
      <c r="D5">
        <v>5</v>
      </c>
    </row>
    <row r="6" spans="1:6" x14ac:dyDescent="0.25">
      <c r="A6">
        <f>ROW()-ROW(registro[[#Headers],[IDDosimetro]])</f>
        <v>5</v>
      </c>
      <c r="B6">
        <v>1</v>
      </c>
      <c r="C6" t="s">
        <v>10</v>
      </c>
      <c r="D6">
        <v>11</v>
      </c>
    </row>
    <row r="7" spans="1:6" x14ac:dyDescent="0.25">
      <c r="A7">
        <f>ROW()-ROW(registro[[#Headers],[IDDosimetro]])</f>
        <v>6</v>
      </c>
      <c r="B7">
        <v>1</v>
      </c>
      <c r="C7" t="s">
        <v>11</v>
      </c>
      <c r="D7">
        <v>11</v>
      </c>
    </row>
    <row r="8" spans="1:6" x14ac:dyDescent="0.25">
      <c r="A8">
        <f>ROW()-ROW(registro[[#Headers],[IDDosimetro]])</f>
        <v>7</v>
      </c>
      <c r="B8">
        <v>1</v>
      </c>
      <c r="C8" t="s">
        <v>17</v>
      </c>
      <c r="D8">
        <v>120</v>
      </c>
    </row>
    <row r="9" spans="1:6" x14ac:dyDescent="0.25">
      <c r="A9">
        <f>ROW()-ROW(registro[[#Headers],[IDDosimetro]])</f>
        <v>8</v>
      </c>
      <c r="B9">
        <v>1</v>
      </c>
      <c r="C9" t="s">
        <v>17</v>
      </c>
      <c r="D9">
        <v>120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FCB96-FA2D-4390-8C23-203C8B2257ED}">
  <sheetPr codeName="Hoja5"/>
  <dimension ref="A1:I12"/>
  <sheetViews>
    <sheetView workbookViewId="0">
      <selection activeCell="F12" sqref="F12"/>
    </sheetView>
  </sheetViews>
  <sheetFormatPr baseColWidth="10" defaultRowHeight="15" x14ac:dyDescent="0.25"/>
  <cols>
    <col min="1" max="1" width="17.28515625" bestFit="1" customWidth="1"/>
    <col min="2" max="2" width="6.28515625" customWidth="1"/>
    <col min="3" max="3" width="59.5703125" bestFit="1" customWidth="1"/>
    <col min="5" max="5" width="25.7109375" bestFit="1" customWidth="1"/>
    <col min="8" max="8" width="5.7109375" customWidth="1"/>
    <col min="9" max="9" width="25" customWidth="1"/>
  </cols>
  <sheetData>
    <row r="1" spans="1:9" ht="29.25" customHeight="1" x14ac:dyDescent="0.25">
      <c r="A1" cm="1">
        <f t="array" ref="A1:A3">ROW(dosimetro[IDDosimetro])</f>
        <v>2</v>
      </c>
      <c r="B1">
        <f>MAX(_xlfn.ANCHORARRAY(A1))</f>
        <v>4</v>
      </c>
      <c r="C1" t="s">
        <v>24</v>
      </c>
      <c r="D1" t="s">
        <v>4</v>
      </c>
      <c r="E1" t="s">
        <v>32</v>
      </c>
      <c r="F1" t="s">
        <v>6</v>
      </c>
      <c r="I1" s="1"/>
    </row>
    <row r="2" spans="1:9" x14ac:dyDescent="0.25">
      <c r="A2">
        <v>3</v>
      </c>
      <c r="D2" t="s">
        <v>5</v>
      </c>
      <c r="E2" t="s">
        <v>33</v>
      </c>
      <c r="F2" t="s">
        <v>7</v>
      </c>
    </row>
    <row r="3" spans="1:9" x14ac:dyDescent="0.25">
      <c r="A3">
        <v>4</v>
      </c>
      <c r="E3" t="s">
        <v>19</v>
      </c>
      <c r="F3" t="s">
        <v>8</v>
      </c>
    </row>
    <row r="4" spans="1:9" x14ac:dyDescent="0.25">
      <c r="E4" t="s">
        <v>20</v>
      </c>
      <c r="F4" t="s">
        <v>9</v>
      </c>
    </row>
    <row r="5" spans="1:9" x14ac:dyDescent="0.25">
      <c r="E5" t="s">
        <v>31</v>
      </c>
      <c r="F5" t="s">
        <v>10</v>
      </c>
    </row>
    <row r="6" spans="1:9" x14ac:dyDescent="0.25">
      <c r="E6" t="s">
        <v>21</v>
      </c>
      <c r="F6" t="s">
        <v>11</v>
      </c>
    </row>
    <row r="7" spans="1:9" x14ac:dyDescent="0.25">
      <c r="F7" t="s">
        <v>12</v>
      </c>
    </row>
    <row r="8" spans="1:9" x14ac:dyDescent="0.25">
      <c r="F8" t="s">
        <v>13</v>
      </c>
    </row>
    <row r="9" spans="1:9" x14ac:dyDescent="0.25">
      <c r="F9" t="s">
        <v>14</v>
      </c>
    </row>
    <row r="10" spans="1:9" x14ac:dyDescent="0.25">
      <c r="F10" t="s">
        <v>15</v>
      </c>
    </row>
    <row r="11" spans="1:9" x14ac:dyDescent="0.25">
      <c r="F11" t="s">
        <v>16</v>
      </c>
    </row>
    <row r="12" spans="1:9" x14ac:dyDescent="0.25">
      <c r="F12" t="s">
        <v>17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FA94D-C3F1-4A06-A2B9-892EED7F1DC2}">
  <sheetPr codeName="Hoja3"/>
  <dimension ref="A1"/>
  <sheetViews>
    <sheetView showGridLines="0" showRowColHeaders="0" tabSelected="1" workbookViewId="0">
      <selection activeCell="E11" sqref="E11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tón1_Haga_clic_en">
                <anchor moveWithCells="1" sizeWithCells="1">
                  <from>
                    <xdr:col>0</xdr:col>
                    <xdr:colOff>590550</xdr:colOff>
                    <xdr:row>1</xdr:row>
                    <xdr:rowOff>161925</xdr:rowOff>
                  </from>
                  <to>
                    <xdr:col>2</xdr:col>
                    <xdr:colOff>323850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otón2_Haga_clic_en">
                <anchor moveWithCells="1" sizeWithCells="1">
                  <from>
                    <xdr:col>2</xdr:col>
                    <xdr:colOff>609600</xdr:colOff>
                    <xdr:row>1</xdr:row>
                    <xdr:rowOff>171450</xdr:rowOff>
                  </from>
                  <to>
                    <xdr:col>4</xdr:col>
                    <xdr:colOff>333375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Dosimetro</vt:lpstr>
      <vt:lpstr>Registro</vt:lpstr>
      <vt:lpstr>Listas</vt:lpstr>
      <vt:lpstr>Menu</vt:lpstr>
      <vt:lpstr>dosimetros</vt:lpstr>
      <vt:lpstr>idDosimetro</vt:lpstr>
      <vt:lpstr>Mes</vt:lpstr>
      <vt:lpstr>ubicacion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Garcia Galicia</dc:creator>
  <cp:lastModifiedBy>Just Swim</cp:lastModifiedBy>
  <dcterms:created xsi:type="dcterms:W3CDTF">2023-06-15T18:58:15Z</dcterms:created>
  <dcterms:modified xsi:type="dcterms:W3CDTF">2023-11-13T19:14:30Z</dcterms:modified>
</cp:coreProperties>
</file>